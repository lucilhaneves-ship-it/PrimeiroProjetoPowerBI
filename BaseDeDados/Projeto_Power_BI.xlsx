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tosPowerBI\BaseDeDados\"/>
    </mc:Choice>
  </mc:AlternateContent>
  <xr:revisionPtr revIDLastSave="0" documentId="13_ncr:1_{1B3567E0-7953-4C2A-A6B7-3FBB4980DBD8}" xr6:coauthVersionLast="47" xr6:coauthVersionMax="47" xr10:uidLastSave="{00000000-0000-0000-0000-000000000000}"/>
  <bookViews>
    <workbookView xWindow="-120" yWindow="-120" windowWidth="20730" windowHeight="11040" tabRatio="763" activeTab="6" xr2:uid="{00000000-000D-0000-FFFF-FFFF00000000}"/>
  </bookViews>
  <sheets>
    <sheet name="dim_usuario" sheetId="1" r:id="rId1"/>
    <sheet name="dim_setor" sheetId="3" r:id="rId2"/>
    <sheet name="dim_categorias" sheetId="4" r:id="rId3"/>
    <sheet name="dim_produto" sheetId="5" r:id="rId4"/>
    <sheet name="dim_cliente" sheetId="6" r:id="rId5"/>
    <sheet name="dim_pedidos" sheetId="7" r:id="rId6"/>
    <sheet name="fato_vendas" sheetId="8" r:id="rId7"/>
    <sheet name="fato_entrega" sheetId="9" r:id="rId8"/>
  </sheets>
  <definedNames>
    <definedName name="_xlnm._FilterDatabase" localSheetId="2" hidden="1">dim_categorias!$A$1:$C$11</definedName>
    <definedName name="_xlnm._FilterDatabase" localSheetId="4" hidden="1">dim_cliente!$A$1:$E$11</definedName>
    <definedName name="_xlnm._FilterDatabase" localSheetId="5" hidden="1">dim_pedidos!$A$1:$E$11</definedName>
    <definedName name="_xlnm._FilterDatabase" localSheetId="3" hidden="1">dim_produto!$A$1:$E$11</definedName>
    <definedName name="_xlnm._FilterDatabase" localSheetId="1" hidden="1">dim_setor!$A$1:$C$11</definedName>
    <definedName name="_xlnm._FilterDatabase" localSheetId="0" hidden="1">dim_usuario!$A$1:$F$11</definedName>
    <definedName name="_xlnm._FilterDatabase" localSheetId="7" hidden="1">fato_entrega!$A$1:$F$11</definedName>
    <definedName name="_xlnm._FilterDatabase" localSheetId="6" hidden="1">fato_vendas!$A$1:$I$11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9" l="1"/>
  <c r="D8" i="9"/>
  <c r="G3" i="8"/>
  <c r="G4" i="8"/>
  <c r="G5" i="8"/>
  <c r="G6" i="8"/>
  <c r="G7" i="8"/>
  <c r="G8" i="8"/>
  <c r="G9" i="8"/>
  <c r="G10" i="8"/>
  <c r="G11" i="8"/>
  <c r="G2" i="8"/>
</calcChain>
</file>

<file path=xl/sharedStrings.xml><?xml version="1.0" encoding="utf-8"?>
<sst xmlns="http://schemas.openxmlformats.org/spreadsheetml/2006/main" count="285" uniqueCount="217">
  <si>
    <t>Ana Martins</t>
  </si>
  <si>
    <t>Gerente Administrativo</t>
  </si>
  <si>
    <t>Carlos Souza</t>
  </si>
  <si>
    <t>Diretor Financeiro</t>
  </si>
  <si>
    <t>Beatriz Lima</t>
  </si>
  <si>
    <t>Eduardo Rocha</t>
  </si>
  <si>
    <t>Gerente Comercial</t>
  </si>
  <si>
    <t>Fernanda Alves</t>
  </si>
  <si>
    <t>Analista Administrativa</t>
  </si>
  <si>
    <t>Gabriel Costa</t>
  </si>
  <si>
    <t>Gerente de Operações</t>
  </si>
  <si>
    <t>Helena Dias</t>
  </si>
  <si>
    <t>Coordenadora Financeira</t>
  </si>
  <si>
    <t>Igor Mendes</t>
  </si>
  <si>
    <t>Analista de Compras</t>
  </si>
  <si>
    <t>Juliana Ramos</t>
  </si>
  <si>
    <t>Gerente de RH</t>
  </si>
  <si>
    <t>Marcelo Nunes</t>
  </si>
  <si>
    <t>Supervisor Administrativo</t>
  </si>
  <si>
    <t>Financeiro</t>
  </si>
  <si>
    <t>Maria Oliveira</t>
  </si>
  <si>
    <t>Comercial</t>
  </si>
  <si>
    <t>Pedro Santos</t>
  </si>
  <si>
    <t>Larissa Costa</t>
  </si>
  <si>
    <t>Logística</t>
  </si>
  <si>
    <t>Camila Ferreira</t>
  </si>
  <si>
    <t>ID_SETOR</t>
  </si>
  <si>
    <t>Contas a pagar e receber</t>
  </si>
  <si>
    <t>Vendas e relacionamento</t>
  </si>
  <si>
    <t>Estoque e entregas</t>
  </si>
  <si>
    <t>Administrativo</t>
  </si>
  <si>
    <t>Rotinas administrativas</t>
  </si>
  <si>
    <t>Marketing</t>
  </si>
  <si>
    <t>Campanhas e comunicação</t>
  </si>
  <si>
    <t>RH</t>
  </si>
  <si>
    <t>Gestão de pessoas</t>
  </si>
  <si>
    <t>Compras</t>
  </si>
  <si>
    <t>Aquisição de materiais</t>
  </si>
  <si>
    <t>TI</t>
  </si>
  <si>
    <t>Tecnologia e suporte</t>
  </si>
  <si>
    <t>Atendimento</t>
  </si>
  <si>
    <t>Suporte ao cliente</t>
  </si>
  <si>
    <t>Diretoria</t>
  </si>
  <si>
    <t>Gestão estratégica</t>
  </si>
  <si>
    <t>ID_CATEGORIA</t>
  </si>
  <si>
    <t>Informática</t>
  </si>
  <si>
    <t>Eletrônicos</t>
  </si>
  <si>
    <t>Telefonia</t>
  </si>
  <si>
    <t>Móveis</t>
  </si>
  <si>
    <t>Casa e Escritório</t>
  </si>
  <si>
    <t>Escritório</t>
  </si>
  <si>
    <t>Papelaria</t>
  </si>
  <si>
    <t>Acessórios</t>
  </si>
  <si>
    <t>Áudio</t>
  </si>
  <si>
    <t>Impressão</t>
  </si>
  <si>
    <t>Climatização</t>
  </si>
  <si>
    <t>Eletrodomésticos</t>
  </si>
  <si>
    <t>Iluminação</t>
  </si>
  <si>
    <t>Organização</t>
  </si>
  <si>
    <t>ID_PRODUTO</t>
  </si>
  <si>
    <t>Notebook Pro 14</t>
  </si>
  <si>
    <t>Smartphone Max</t>
  </si>
  <si>
    <t>Cadeira Ergonômica</t>
  </si>
  <si>
    <t>Kit Escritório Premium</t>
  </si>
  <si>
    <t>Mouse Sem Fio</t>
  </si>
  <si>
    <t>Fone Bluetooth</t>
  </si>
  <si>
    <t>Impressora Multifuncional</t>
  </si>
  <si>
    <t>Ar-Condicionado 12000 BTUs</t>
  </si>
  <si>
    <t>Luminária LED</t>
  </si>
  <si>
    <t>Organizador Modular</t>
  </si>
  <si>
    <t>ID_CLIENTE</t>
  </si>
  <si>
    <t>UF</t>
  </si>
  <si>
    <t>Mercado Central</t>
  </si>
  <si>
    <t>Curitiba</t>
  </si>
  <si>
    <t>PR</t>
  </si>
  <si>
    <t>PJ</t>
  </si>
  <si>
    <t>Comercial Paraná</t>
  </si>
  <si>
    <t>Londrina</t>
  </si>
  <si>
    <t>Casa &amp; Cia</t>
  </si>
  <si>
    <t>Maringá</t>
  </si>
  <si>
    <t>Tech Solutions</t>
  </si>
  <si>
    <t>São José dos Pinhais</t>
  </si>
  <si>
    <t>Joana Ribeiro</t>
  </si>
  <si>
    <t>PF</t>
  </si>
  <si>
    <t>Carlos Mendes</t>
  </si>
  <si>
    <t>Ponta Grossa</t>
  </si>
  <si>
    <t>Alpha Office</t>
  </si>
  <si>
    <t>Cascavel</t>
  </si>
  <si>
    <t>Beta Serviços</t>
  </si>
  <si>
    <t>Foz do Iguaçu</t>
  </si>
  <si>
    <t>Mariana Lopes</t>
  </si>
  <si>
    <t>Paranaguá</t>
  </si>
  <si>
    <t>Delta Comércio</t>
  </si>
  <si>
    <t>Colombo</t>
  </si>
  <si>
    <t>ID_PEDIDO</t>
  </si>
  <si>
    <t>15/01/2025</t>
  </si>
  <si>
    <t>Aprovado</t>
  </si>
  <si>
    <t>22/03/2025</t>
  </si>
  <si>
    <t>Faturado</t>
  </si>
  <si>
    <t>10/06/2025</t>
  </si>
  <si>
    <t>Entregue</t>
  </si>
  <si>
    <t>18/09/2025</t>
  </si>
  <si>
    <t>05/12/2025</t>
  </si>
  <si>
    <t>20/02/2026</t>
  </si>
  <si>
    <t>14/04/2026</t>
  </si>
  <si>
    <t>30/06/2026</t>
  </si>
  <si>
    <t>11/07/2026</t>
  </si>
  <si>
    <t>08/08/2026</t>
  </si>
  <si>
    <t>ID_VENDA</t>
  </si>
  <si>
    <t>Janeiro</t>
  </si>
  <si>
    <t>Março</t>
  </si>
  <si>
    <t>Junho</t>
  </si>
  <si>
    <t>Setembro</t>
  </si>
  <si>
    <t>Dezembro</t>
  </si>
  <si>
    <t>Fevereiro</t>
  </si>
  <si>
    <t>Abril</t>
  </si>
  <si>
    <t>Julho</t>
  </si>
  <si>
    <t>Agosto</t>
  </si>
  <si>
    <t>ID_ENTREGA</t>
  </si>
  <si>
    <t>18/01/2025</t>
  </si>
  <si>
    <t>20/01/2025</t>
  </si>
  <si>
    <t>25/03/2025</t>
  </si>
  <si>
    <t>28/03/2025</t>
  </si>
  <si>
    <t>12/06/2025</t>
  </si>
  <si>
    <t>16/06/2025</t>
  </si>
  <si>
    <t>20/09/2025</t>
  </si>
  <si>
    <t>24/09/2025</t>
  </si>
  <si>
    <t>07/12/2025</t>
  </si>
  <si>
    <t>10/12/2025</t>
  </si>
  <si>
    <t>22/02/2026</t>
  </si>
  <si>
    <t>25/02/2026</t>
  </si>
  <si>
    <t>16/04/2026</t>
  </si>
  <si>
    <t>Em trânsito</t>
  </si>
  <si>
    <t>02/07/2026</t>
  </si>
  <si>
    <t>05/07/2026</t>
  </si>
  <si>
    <t>13/07/2026</t>
  </si>
  <si>
    <t>17/07/2026</t>
  </si>
  <si>
    <t>10/08/2026</t>
  </si>
  <si>
    <t>Em preparação</t>
  </si>
  <si>
    <t>(41) 99679-8110</t>
  </si>
  <si>
    <t>(41) 99679-8111</t>
  </si>
  <si>
    <t>(41) 99679-8112</t>
  </si>
  <si>
    <t>(41) 99679-8113</t>
  </si>
  <si>
    <t>(41) 99679-8114</t>
  </si>
  <si>
    <t>(41) 99679-8115</t>
  </si>
  <si>
    <t>(41) 99679-8116</t>
  </si>
  <si>
    <t>(41) 99679-8117</t>
  </si>
  <si>
    <t>(41) 99679-8118</t>
  </si>
  <si>
    <t>(41) 99679-8119</t>
  </si>
  <si>
    <t>CPF</t>
  </si>
  <si>
    <t>028.568.909-33</t>
  </si>
  <si>
    <t>471.900.342-00</t>
  </si>
  <si>
    <t>088.344.230-12</t>
  </si>
  <si>
    <t>099.990.457-89</t>
  </si>
  <si>
    <t>028.568.909-34</t>
  </si>
  <si>
    <t>471.900.342-01</t>
  </si>
  <si>
    <t>088.344.230-13</t>
  </si>
  <si>
    <t>099.990.457-90</t>
  </si>
  <si>
    <t>028.568.909-35</t>
  </si>
  <si>
    <t>471.900.342-02</t>
  </si>
  <si>
    <t>Transportadora Rapido Neves</t>
  </si>
  <si>
    <t>Transportadora Paraíso</t>
  </si>
  <si>
    <t>Transportadora Teixeira</t>
  </si>
  <si>
    <t>NOME_SETOR</t>
  </si>
  <si>
    <t>DESCRIÇÃO</t>
  </si>
  <si>
    <t>NOME_USUARIOS</t>
  </si>
  <si>
    <t>028.568.909-36</t>
  </si>
  <si>
    <t>471.900.342-03</t>
  </si>
  <si>
    <t>028.568.909-37</t>
  </si>
  <si>
    <t>471.900.342-04</t>
  </si>
  <si>
    <t>maria.oliveira@gmail.com</t>
  </si>
  <si>
    <t>pedrosantos@outlook.com</t>
  </si>
  <si>
    <t>larissa_costa@gmail.com</t>
  </si>
  <si>
    <t>camila_ferreira@hotmail.com</t>
  </si>
  <si>
    <t>(41) 99679-8120</t>
  </si>
  <si>
    <t>(41) 99679-8121</t>
  </si>
  <si>
    <t>(41) 99679-8122</t>
  </si>
  <si>
    <t>(41) 99679-8123</t>
  </si>
  <si>
    <t>Coordenadora de Marketing</t>
  </si>
  <si>
    <t>Analista de TI</t>
  </si>
  <si>
    <t>Atendente</t>
  </si>
  <si>
    <t>Analista Comercial</t>
  </si>
  <si>
    <t xml:space="preserve">marcelo.nunes@ntbrasil.com </t>
  </si>
  <si>
    <t xml:space="preserve">juliana.ramos@ntbrasil.com </t>
  </si>
  <si>
    <t xml:space="preserve">igor.mendes@ntbrasil.com </t>
  </si>
  <si>
    <t xml:space="preserve">helena.dias@ntbrasil.com </t>
  </si>
  <si>
    <t xml:space="preserve">gabriel.costa@ntbrasil.com </t>
  </si>
  <si>
    <t xml:space="preserve">fernanda.alves@ntbrasil.com </t>
  </si>
  <si>
    <t xml:space="preserve">eduardo.rocha@ntbrasil.com </t>
  </si>
  <si>
    <t xml:space="preserve">beatriz.lima@ntbrasil.com </t>
  </si>
  <si>
    <t xml:space="preserve">carlos.souza@ntbrasil.com </t>
  </si>
  <si>
    <t xml:space="preserve">ana.martins@ntbrasil.com </t>
  </si>
  <si>
    <t>CARGO</t>
  </si>
  <si>
    <t>EMAIL</t>
  </si>
  <si>
    <t>TELEFONE</t>
  </si>
  <si>
    <t>NOME_PRODUTO</t>
  </si>
  <si>
    <t>CUSTO_UNITARIO</t>
  </si>
  <si>
    <t>PRECO_VENDA</t>
  </si>
  <si>
    <t>GRUPO</t>
  </si>
  <si>
    <t>NOME_CATEGORIA</t>
  </si>
  <si>
    <t>NOME_CLIENTE</t>
  </si>
  <si>
    <t>CIDADE</t>
  </si>
  <si>
    <t>TIPO_CLIENTE</t>
  </si>
  <si>
    <t>ID_USUARIO</t>
  </si>
  <si>
    <t>TIPO_USUARIO</t>
  </si>
  <si>
    <t>DATA_PEDIDO</t>
  </si>
  <si>
    <t>STATUS_PEDIDO</t>
  </si>
  <si>
    <t>DATA_VENDA</t>
  </si>
  <si>
    <t>QUANTIDADE</t>
  </si>
  <si>
    <t>VALOR_UNITARIO</t>
  </si>
  <si>
    <t>VALOR_TOTAL</t>
  </si>
  <si>
    <t>MÊS</t>
  </si>
  <si>
    <t>ANO</t>
  </si>
  <si>
    <t>DATA_ENVIO</t>
  </si>
  <si>
    <t>DATA_ENTREGA</t>
  </si>
  <si>
    <t>STATUS_ENTREGA</t>
  </si>
  <si>
    <t>TRANSPORTADORA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</si>
</sst>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2"/>
    <xf numFmtId="0" fontId="4" fillId="0" borderId="0" xfId="2" applyAlignment="1">
      <alignment horizontal="left" vertical="center"/>
    </xf>
    <xf numFmtId="43" fontId="0" fillId="0" borderId="0" xfId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lena.dias@ntbrasil.com%20" TargetMode="External"/><Relationship Id="rId13" Type="http://schemas.openxmlformats.org/officeDocument/2006/relationships/hyperlink" Target="mailto:carlos.souza@ntbrasil.com%20" TargetMode="External"/><Relationship Id="rId3" Type="http://schemas.openxmlformats.org/officeDocument/2006/relationships/hyperlink" Target="mailto:larissa_costa@gmail.com" TargetMode="External"/><Relationship Id="rId7" Type="http://schemas.openxmlformats.org/officeDocument/2006/relationships/hyperlink" Target="mailto:igor.mendes@ntbrasil.com%20" TargetMode="External"/><Relationship Id="rId12" Type="http://schemas.openxmlformats.org/officeDocument/2006/relationships/hyperlink" Target="mailto:beatriz.lima@ntbrasil.com%20" TargetMode="External"/><Relationship Id="rId2" Type="http://schemas.openxmlformats.org/officeDocument/2006/relationships/hyperlink" Target="mailto:pedrosantos@outlook.com" TargetMode="External"/><Relationship Id="rId1" Type="http://schemas.openxmlformats.org/officeDocument/2006/relationships/hyperlink" Target="mailto:maria.oliveira@gmail.com" TargetMode="External"/><Relationship Id="rId6" Type="http://schemas.openxmlformats.org/officeDocument/2006/relationships/hyperlink" Target="mailto:juliana.ramos@ntbrasil.com%20" TargetMode="External"/><Relationship Id="rId11" Type="http://schemas.openxmlformats.org/officeDocument/2006/relationships/hyperlink" Target="mailto:eduardo.rocha@ntbrasil.com%20" TargetMode="External"/><Relationship Id="rId5" Type="http://schemas.openxmlformats.org/officeDocument/2006/relationships/hyperlink" Target="mailto:marcelo.nunes@ntbrasil.com%20" TargetMode="External"/><Relationship Id="rId10" Type="http://schemas.openxmlformats.org/officeDocument/2006/relationships/hyperlink" Target="mailto:fernanda.alves@ntbrasil.com%20" TargetMode="External"/><Relationship Id="rId4" Type="http://schemas.openxmlformats.org/officeDocument/2006/relationships/hyperlink" Target="mailto:camila_ferreira@hotmail.com" TargetMode="External"/><Relationship Id="rId9" Type="http://schemas.openxmlformats.org/officeDocument/2006/relationships/hyperlink" Target="mailto:gabriel.costa@ntbrasil.com%20" TargetMode="External"/><Relationship Id="rId14" Type="http://schemas.openxmlformats.org/officeDocument/2006/relationships/hyperlink" Target="mailto:ana.martins@ntbras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17.7109375" style="6" customWidth="1"/>
    <col min="2" max="2" width="23.42578125" style="6" customWidth="1"/>
    <col min="3" max="4" width="21.28515625" style="6" customWidth="1"/>
    <col min="5" max="5" width="33.42578125" style="6" customWidth="1"/>
    <col min="6" max="6" width="33.85546875" style="6" customWidth="1"/>
    <col min="7" max="7" width="16.140625" style="6" customWidth="1"/>
  </cols>
  <sheetData>
    <row r="1" spans="1:8" x14ac:dyDescent="0.25">
      <c r="A1" s="4" t="s">
        <v>203</v>
      </c>
      <c r="B1" s="4" t="s">
        <v>165</v>
      </c>
      <c r="C1" s="1" t="s">
        <v>204</v>
      </c>
      <c r="D1" s="4" t="s">
        <v>149</v>
      </c>
      <c r="E1" s="4" t="s">
        <v>192</v>
      </c>
      <c r="F1" s="4" t="s">
        <v>193</v>
      </c>
      <c r="G1" s="5" t="s">
        <v>194</v>
      </c>
      <c r="H1" s="13" t="s">
        <v>26</v>
      </c>
    </row>
    <row r="2" spans="1:8" x14ac:dyDescent="0.25">
      <c r="A2" s="7">
        <v>1</v>
      </c>
      <c r="B2" s="8" t="s">
        <v>0</v>
      </c>
      <c r="C2" s="7">
        <v>1</v>
      </c>
      <c r="D2" s="7" t="s">
        <v>150</v>
      </c>
      <c r="E2" s="8" t="s">
        <v>1</v>
      </c>
      <c r="F2" s="10" t="s">
        <v>191</v>
      </c>
      <c r="G2" s="7" t="s">
        <v>139</v>
      </c>
      <c r="H2">
        <v>1</v>
      </c>
    </row>
    <row r="3" spans="1:8" x14ac:dyDescent="0.25">
      <c r="A3" s="7">
        <v>2</v>
      </c>
      <c r="B3" s="8" t="s">
        <v>2</v>
      </c>
      <c r="C3" s="7">
        <v>1</v>
      </c>
      <c r="D3" s="7" t="s">
        <v>151</v>
      </c>
      <c r="E3" s="8" t="s">
        <v>8</v>
      </c>
      <c r="F3" s="10" t="s">
        <v>190</v>
      </c>
      <c r="G3" s="7" t="s">
        <v>140</v>
      </c>
      <c r="H3">
        <v>2</v>
      </c>
    </row>
    <row r="4" spans="1:8" x14ac:dyDescent="0.25">
      <c r="A4" s="7">
        <v>3</v>
      </c>
      <c r="B4" s="8" t="s">
        <v>4</v>
      </c>
      <c r="C4" s="7">
        <v>2</v>
      </c>
      <c r="D4" s="7" t="s">
        <v>152</v>
      </c>
      <c r="E4" s="8" t="s">
        <v>16</v>
      </c>
      <c r="F4" s="10" t="s">
        <v>189</v>
      </c>
      <c r="G4" s="7" t="s">
        <v>141</v>
      </c>
      <c r="H4">
        <v>3</v>
      </c>
    </row>
    <row r="5" spans="1:8" x14ac:dyDescent="0.25">
      <c r="A5" s="7">
        <v>4</v>
      </c>
      <c r="B5" s="8" t="s">
        <v>5</v>
      </c>
      <c r="C5" s="7">
        <v>2</v>
      </c>
      <c r="D5" s="7" t="s">
        <v>153</v>
      </c>
      <c r="E5" s="8" t="s">
        <v>6</v>
      </c>
      <c r="F5" s="10" t="s">
        <v>188</v>
      </c>
      <c r="G5" s="7" t="s">
        <v>142</v>
      </c>
      <c r="H5">
        <v>4</v>
      </c>
    </row>
    <row r="6" spans="1:8" x14ac:dyDescent="0.25">
      <c r="A6" s="7">
        <v>5</v>
      </c>
      <c r="B6" s="8" t="s">
        <v>7</v>
      </c>
      <c r="C6" s="7">
        <v>2</v>
      </c>
      <c r="D6" s="7" t="s">
        <v>154</v>
      </c>
      <c r="E6" s="6" t="s">
        <v>178</v>
      </c>
      <c r="F6" s="10" t="s">
        <v>187</v>
      </c>
      <c r="G6" s="7" t="s">
        <v>143</v>
      </c>
      <c r="H6">
        <v>5</v>
      </c>
    </row>
    <row r="7" spans="1:8" x14ac:dyDescent="0.25">
      <c r="A7" s="7">
        <v>6</v>
      </c>
      <c r="B7" s="8" t="s">
        <v>9</v>
      </c>
      <c r="C7" s="7">
        <v>2</v>
      </c>
      <c r="D7" s="7" t="s">
        <v>155</v>
      </c>
      <c r="E7" s="8" t="s">
        <v>3</v>
      </c>
      <c r="F7" s="10" t="s">
        <v>186</v>
      </c>
      <c r="G7" s="7" t="s">
        <v>144</v>
      </c>
      <c r="H7">
        <v>6</v>
      </c>
    </row>
    <row r="8" spans="1:8" x14ac:dyDescent="0.25">
      <c r="A8" s="7">
        <v>7</v>
      </c>
      <c r="B8" s="8" t="s">
        <v>11</v>
      </c>
      <c r="C8" s="7">
        <v>2</v>
      </c>
      <c r="D8" s="7" t="s">
        <v>156</v>
      </c>
      <c r="E8" s="8" t="s">
        <v>14</v>
      </c>
      <c r="F8" s="10" t="s">
        <v>185</v>
      </c>
      <c r="G8" s="7" t="s">
        <v>145</v>
      </c>
      <c r="H8">
        <v>7</v>
      </c>
    </row>
    <row r="9" spans="1:8" x14ac:dyDescent="0.25">
      <c r="A9" s="7">
        <v>8</v>
      </c>
      <c r="B9" s="8" t="s">
        <v>13</v>
      </c>
      <c r="C9" s="7">
        <v>2</v>
      </c>
      <c r="D9" s="7" t="s">
        <v>157</v>
      </c>
      <c r="E9" s="8" t="s">
        <v>179</v>
      </c>
      <c r="F9" s="10" t="s">
        <v>184</v>
      </c>
      <c r="G9" s="7" t="s">
        <v>146</v>
      </c>
      <c r="H9">
        <v>8</v>
      </c>
    </row>
    <row r="10" spans="1:8" x14ac:dyDescent="0.25">
      <c r="A10" s="7">
        <v>9</v>
      </c>
      <c r="B10" s="8" t="s">
        <v>15</v>
      </c>
      <c r="C10" s="7">
        <v>2</v>
      </c>
      <c r="D10" s="7" t="s">
        <v>158</v>
      </c>
      <c r="E10" s="6" t="s">
        <v>180</v>
      </c>
      <c r="F10" s="10" t="s">
        <v>183</v>
      </c>
      <c r="G10" s="7" t="s">
        <v>147</v>
      </c>
      <c r="H10">
        <v>9</v>
      </c>
    </row>
    <row r="11" spans="1:8" x14ac:dyDescent="0.25">
      <c r="A11" s="7">
        <v>10</v>
      </c>
      <c r="B11" s="8" t="s">
        <v>17</v>
      </c>
      <c r="C11" s="7">
        <v>2</v>
      </c>
      <c r="D11" s="7" t="s">
        <v>159</v>
      </c>
      <c r="E11" s="8" t="s">
        <v>10</v>
      </c>
      <c r="F11" s="10" t="s">
        <v>182</v>
      </c>
      <c r="G11" s="7" t="s">
        <v>148</v>
      </c>
      <c r="H11">
        <v>10</v>
      </c>
    </row>
    <row r="12" spans="1:8" x14ac:dyDescent="0.25">
      <c r="A12" s="7">
        <v>11</v>
      </c>
      <c r="B12" t="s">
        <v>20</v>
      </c>
      <c r="C12" s="7">
        <v>2</v>
      </c>
      <c r="D12" s="7" t="s">
        <v>166</v>
      </c>
      <c r="E12" s="8" t="s">
        <v>12</v>
      </c>
      <c r="F12" s="9" t="s">
        <v>170</v>
      </c>
      <c r="G12" s="7" t="s">
        <v>174</v>
      </c>
      <c r="H12">
        <v>6</v>
      </c>
    </row>
    <row r="13" spans="1:8" x14ac:dyDescent="0.25">
      <c r="A13" s="7">
        <v>12</v>
      </c>
      <c r="B13" t="s">
        <v>22</v>
      </c>
      <c r="C13" s="7">
        <v>2</v>
      </c>
      <c r="D13" s="7" t="s">
        <v>167</v>
      </c>
      <c r="E13" s="8" t="s">
        <v>14</v>
      </c>
      <c r="F13" s="9" t="s">
        <v>171</v>
      </c>
      <c r="G13" s="7" t="s">
        <v>175</v>
      </c>
      <c r="H13">
        <v>7</v>
      </c>
    </row>
    <row r="14" spans="1:8" x14ac:dyDescent="0.25">
      <c r="A14" s="7">
        <v>13</v>
      </c>
      <c r="B14" t="s">
        <v>23</v>
      </c>
      <c r="C14" s="7">
        <v>2</v>
      </c>
      <c r="D14" s="7" t="s">
        <v>168</v>
      </c>
      <c r="E14" s="8" t="s">
        <v>181</v>
      </c>
      <c r="F14" s="9" t="s">
        <v>172</v>
      </c>
      <c r="G14" s="7" t="s">
        <v>176</v>
      </c>
      <c r="H14">
        <v>4</v>
      </c>
    </row>
    <row r="15" spans="1:8" x14ac:dyDescent="0.25">
      <c r="A15" s="7">
        <v>14</v>
      </c>
      <c r="B15" t="s">
        <v>25</v>
      </c>
      <c r="C15" s="7">
        <v>2</v>
      </c>
      <c r="D15" s="7" t="s">
        <v>169</v>
      </c>
      <c r="E15" s="8" t="s">
        <v>18</v>
      </c>
      <c r="F15" s="9" t="s">
        <v>173</v>
      </c>
      <c r="G15" s="7" t="s">
        <v>177</v>
      </c>
      <c r="H15">
        <v>1</v>
      </c>
    </row>
    <row r="16" spans="1:8" x14ac:dyDescent="0.25">
      <c r="B16"/>
    </row>
    <row r="17" spans="2:2" x14ac:dyDescent="0.25">
      <c r="B17"/>
    </row>
  </sheetData>
  <autoFilter ref="A1:F11" xr:uid="{00000000-0009-0000-0000-000000000000}"/>
  <phoneticPr fontId="3" type="noConversion"/>
  <hyperlinks>
    <hyperlink ref="F12" r:id="rId1" xr:uid="{74CD94D8-0C12-40F3-87C9-76BAB612B1EF}"/>
    <hyperlink ref="F13" r:id="rId2" xr:uid="{025E644C-1DA3-4122-9FD5-760B61456D54}"/>
    <hyperlink ref="F14" r:id="rId3" xr:uid="{F82321CA-5F1F-4642-901D-1DAABCFE13B8}"/>
    <hyperlink ref="F15" r:id="rId4" xr:uid="{DBDDC92A-5D74-4B4E-A4C2-B761318B86BC}"/>
    <hyperlink ref="F11" r:id="rId5" xr:uid="{5E005134-023D-4CA2-8044-13220B07C7A2}"/>
    <hyperlink ref="F10" r:id="rId6" xr:uid="{82AEDEB1-FB55-46F9-95FC-E1A06CBBDA57}"/>
    <hyperlink ref="F9" r:id="rId7" xr:uid="{47CCB420-CDE4-455D-993C-D4F292CAA663}"/>
    <hyperlink ref="F8" r:id="rId8" xr:uid="{C0E4989D-DBA7-43E1-BBDB-1437337F340F}"/>
    <hyperlink ref="F7" r:id="rId9" xr:uid="{36DB94C8-4915-468C-81B5-F411ED6A2727}"/>
    <hyperlink ref="F6" r:id="rId10" xr:uid="{0310E6AF-41D4-49EE-A3E5-0489B0E058C2}"/>
    <hyperlink ref="F5" r:id="rId11" xr:uid="{DDDAD728-48B5-4B9D-8943-A743A523521A}"/>
    <hyperlink ref="F4" r:id="rId12" xr:uid="{7F5053B7-FAFE-482D-B075-8E262B808024}"/>
    <hyperlink ref="F3" r:id="rId13" xr:uid="{E425A993-51EE-4E9C-A6A6-E7CE44B2D6A1}"/>
    <hyperlink ref="F2" r:id="rId14" xr:uid="{61604AE5-5CCF-40EE-84DD-4CAD75F7412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 activeCell="A2" sqref="A2:B11"/>
    </sheetView>
  </sheetViews>
  <sheetFormatPr defaultRowHeight="15" x14ac:dyDescent="0.25"/>
  <cols>
    <col min="1" max="1" width="16.85546875" style="3" customWidth="1"/>
    <col min="2" max="2" width="22.85546875" customWidth="1"/>
    <col min="3" max="3" width="27.42578125" customWidth="1"/>
    <col min="5" max="5" width="14.28515625" bestFit="1" customWidth="1"/>
    <col min="6" max="6" width="25" bestFit="1" customWidth="1"/>
  </cols>
  <sheetData>
    <row r="1" spans="1:3" x14ac:dyDescent="0.25">
      <c r="A1" s="1" t="s">
        <v>26</v>
      </c>
      <c r="B1" s="1" t="s">
        <v>163</v>
      </c>
      <c r="C1" s="1" t="s">
        <v>164</v>
      </c>
    </row>
    <row r="2" spans="1:3" x14ac:dyDescent="0.25">
      <c r="A2" s="7">
        <v>1</v>
      </c>
      <c r="B2" t="s">
        <v>42</v>
      </c>
      <c r="C2" t="s">
        <v>43</v>
      </c>
    </row>
    <row r="3" spans="1:3" x14ac:dyDescent="0.25">
      <c r="A3" s="7">
        <v>2</v>
      </c>
      <c r="B3" t="s">
        <v>30</v>
      </c>
      <c r="C3" t="s">
        <v>31</v>
      </c>
    </row>
    <row r="4" spans="1:3" x14ac:dyDescent="0.25">
      <c r="A4" s="7">
        <v>3</v>
      </c>
      <c r="B4" t="s">
        <v>34</v>
      </c>
      <c r="C4" t="s">
        <v>35</v>
      </c>
    </row>
    <row r="5" spans="1:3" x14ac:dyDescent="0.25">
      <c r="A5" s="7">
        <v>4</v>
      </c>
      <c r="B5" t="s">
        <v>21</v>
      </c>
      <c r="C5" t="s">
        <v>28</v>
      </c>
    </row>
    <row r="6" spans="1:3" x14ac:dyDescent="0.25">
      <c r="A6" s="7">
        <v>5</v>
      </c>
      <c r="B6" t="s">
        <v>32</v>
      </c>
      <c r="C6" t="s">
        <v>33</v>
      </c>
    </row>
    <row r="7" spans="1:3" x14ac:dyDescent="0.25">
      <c r="A7" s="7">
        <v>6</v>
      </c>
      <c r="B7" t="s">
        <v>19</v>
      </c>
      <c r="C7" t="s">
        <v>27</v>
      </c>
    </row>
    <row r="8" spans="1:3" x14ac:dyDescent="0.25">
      <c r="A8" s="7">
        <v>7</v>
      </c>
      <c r="B8" t="s">
        <v>36</v>
      </c>
      <c r="C8" t="s">
        <v>37</v>
      </c>
    </row>
    <row r="9" spans="1:3" x14ac:dyDescent="0.25">
      <c r="A9" s="7">
        <v>8</v>
      </c>
      <c r="B9" t="s">
        <v>38</v>
      </c>
      <c r="C9" t="s">
        <v>39</v>
      </c>
    </row>
    <row r="10" spans="1:3" x14ac:dyDescent="0.25">
      <c r="A10" s="7">
        <v>9</v>
      </c>
      <c r="B10" t="s">
        <v>40</v>
      </c>
      <c r="C10" t="s">
        <v>41</v>
      </c>
    </row>
    <row r="11" spans="1:3" x14ac:dyDescent="0.25">
      <c r="A11" s="7">
        <v>10</v>
      </c>
      <c r="B11" t="s">
        <v>24</v>
      </c>
      <c r="C11" t="s">
        <v>29</v>
      </c>
    </row>
  </sheetData>
  <autoFilter ref="A1:C1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20.7109375" style="7" customWidth="1"/>
    <col min="2" max="2" width="24.28515625" style="7" customWidth="1"/>
    <col min="3" max="3" width="22.7109375" style="7" customWidth="1"/>
    <col min="4" max="4" width="14.28515625" bestFit="1" customWidth="1"/>
  </cols>
  <sheetData>
    <row r="1" spans="1:4" x14ac:dyDescent="0.25">
      <c r="A1" s="4" t="s">
        <v>44</v>
      </c>
      <c r="B1" s="4" t="s">
        <v>199</v>
      </c>
      <c r="C1" s="4" t="s">
        <v>198</v>
      </c>
      <c r="D1" s="4" t="s">
        <v>204</v>
      </c>
    </row>
    <row r="2" spans="1:4" x14ac:dyDescent="0.25">
      <c r="A2" s="7">
        <v>1</v>
      </c>
      <c r="B2" s="8" t="s">
        <v>45</v>
      </c>
      <c r="C2" s="8" t="s">
        <v>46</v>
      </c>
      <c r="D2">
        <v>2</v>
      </c>
    </row>
    <row r="3" spans="1:4" x14ac:dyDescent="0.25">
      <c r="A3" s="7">
        <v>2</v>
      </c>
      <c r="B3" s="8" t="s">
        <v>47</v>
      </c>
      <c r="C3" s="8" t="s">
        <v>46</v>
      </c>
      <c r="D3">
        <v>2</v>
      </c>
    </row>
    <row r="4" spans="1:4" x14ac:dyDescent="0.25">
      <c r="A4" s="7">
        <v>3</v>
      </c>
      <c r="B4" s="8" t="s">
        <v>48</v>
      </c>
      <c r="C4" s="8" t="s">
        <v>49</v>
      </c>
      <c r="D4">
        <v>2</v>
      </c>
    </row>
    <row r="5" spans="1:4" x14ac:dyDescent="0.25">
      <c r="A5" s="7">
        <v>4</v>
      </c>
      <c r="B5" s="8" t="s">
        <v>50</v>
      </c>
      <c r="C5" s="8" t="s">
        <v>51</v>
      </c>
      <c r="D5">
        <v>2</v>
      </c>
    </row>
    <row r="6" spans="1:4" x14ac:dyDescent="0.25">
      <c r="A6" s="7">
        <v>5</v>
      </c>
      <c r="B6" s="8" t="s">
        <v>52</v>
      </c>
      <c r="C6" s="8" t="s">
        <v>46</v>
      </c>
      <c r="D6">
        <v>2</v>
      </c>
    </row>
    <row r="7" spans="1:4" x14ac:dyDescent="0.25">
      <c r="A7" s="7">
        <v>6</v>
      </c>
      <c r="B7" s="8" t="s">
        <v>53</v>
      </c>
      <c r="C7" s="8" t="s">
        <v>46</v>
      </c>
      <c r="D7">
        <v>2</v>
      </c>
    </row>
    <row r="8" spans="1:4" x14ac:dyDescent="0.25">
      <c r="A8" s="7">
        <v>7</v>
      </c>
      <c r="B8" s="8" t="s">
        <v>54</v>
      </c>
      <c r="C8" s="8" t="s">
        <v>50</v>
      </c>
      <c r="D8">
        <v>2</v>
      </c>
    </row>
    <row r="9" spans="1:4" x14ac:dyDescent="0.25">
      <c r="A9" s="7">
        <v>8</v>
      </c>
      <c r="B9" s="8" t="s">
        <v>55</v>
      </c>
      <c r="C9" s="8" t="s">
        <v>56</v>
      </c>
      <c r="D9">
        <v>2</v>
      </c>
    </row>
    <row r="10" spans="1:4" x14ac:dyDescent="0.25">
      <c r="A10" s="7">
        <v>9</v>
      </c>
      <c r="B10" s="8" t="s">
        <v>57</v>
      </c>
      <c r="C10" s="8" t="s">
        <v>49</v>
      </c>
      <c r="D10">
        <v>2</v>
      </c>
    </row>
    <row r="11" spans="1:4" x14ac:dyDescent="0.25">
      <c r="A11" s="7">
        <v>10</v>
      </c>
      <c r="B11" s="8" t="s">
        <v>58</v>
      </c>
      <c r="C11" s="8" t="s">
        <v>49</v>
      </c>
      <c r="D11">
        <v>2</v>
      </c>
    </row>
  </sheetData>
  <autoFilter ref="A1:C1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9.28515625" style="7" customWidth="1"/>
    <col min="2" max="2" width="28" style="7" customWidth="1"/>
    <col min="3" max="3" width="23.28515625" style="7" customWidth="1"/>
    <col min="4" max="4" width="22.5703125" style="7" customWidth="1"/>
    <col min="5" max="5" width="21.140625" style="7" customWidth="1"/>
    <col min="6" max="16384" width="9.140625" style="7"/>
  </cols>
  <sheetData>
    <row r="1" spans="1:5" x14ac:dyDescent="0.25">
      <c r="A1" s="4" t="s">
        <v>59</v>
      </c>
      <c r="B1" s="4" t="s">
        <v>195</v>
      </c>
      <c r="C1" s="4" t="s">
        <v>44</v>
      </c>
      <c r="D1" s="4" t="s">
        <v>196</v>
      </c>
      <c r="E1" s="4" t="s">
        <v>197</v>
      </c>
    </row>
    <row r="2" spans="1:5" x14ac:dyDescent="0.25">
      <c r="A2" s="7">
        <v>1001</v>
      </c>
      <c r="B2" s="8" t="s">
        <v>60</v>
      </c>
      <c r="C2" s="7">
        <v>1</v>
      </c>
      <c r="D2" s="11">
        <v>4500</v>
      </c>
      <c r="E2" s="11">
        <v>6200</v>
      </c>
    </row>
    <row r="3" spans="1:5" x14ac:dyDescent="0.25">
      <c r="A3" s="7">
        <v>1002</v>
      </c>
      <c r="B3" s="8" t="s">
        <v>61</v>
      </c>
      <c r="C3" s="7">
        <v>2</v>
      </c>
      <c r="D3" s="11">
        <v>2200</v>
      </c>
      <c r="E3" s="11">
        <v>3499</v>
      </c>
    </row>
    <row r="4" spans="1:5" x14ac:dyDescent="0.25">
      <c r="A4" s="7">
        <v>1003</v>
      </c>
      <c r="B4" s="8" t="s">
        <v>62</v>
      </c>
      <c r="C4" s="7">
        <v>3</v>
      </c>
      <c r="D4" s="11">
        <v>650</v>
      </c>
      <c r="E4" s="11">
        <v>1190</v>
      </c>
    </row>
    <row r="5" spans="1:5" x14ac:dyDescent="0.25">
      <c r="A5" s="7">
        <v>1004</v>
      </c>
      <c r="B5" s="8" t="s">
        <v>63</v>
      </c>
      <c r="C5" s="7">
        <v>4</v>
      </c>
      <c r="D5" s="11">
        <v>180</v>
      </c>
      <c r="E5" s="11">
        <v>329</v>
      </c>
    </row>
    <row r="6" spans="1:5" x14ac:dyDescent="0.25">
      <c r="A6" s="7">
        <v>1005</v>
      </c>
      <c r="B6" s="8" t="s">
        <v>64</v>
      </c>
      <c r="C6" s="7">
        <v>5</v>
      </c>
      <c r="D6" s="11">
        <v>55</v>
      </c>
      <c r="E6" s="11">
        <v>99.9</v>
      </c>
    </row>
    <row r="7" spans="1:5" x14ac:dyDescent="0.25">
      <c r="A7" s="7">
        <v>1006</v>
      </c>
      <c r="B7" s="8" t="s">
        <v>65</v>
      </c>
      <c r="C7" s="7">
        <v>6</v>
      </c>
      <c r="D7" s="11">
        <v>120</v>
      </c>
      <c r="E7" s="11">
        <v>219.9</v>
      </c>
    </row>
    <row r="8" spans="1:5" x14ac:dyDescent="0.25">
      <c r="A8" s="7">
        <v>1007</v>
      </c>
      <c r="B8" s="8" t="s">
        <v>66</v>
      </c>
      <c r="C8" s="7">
        <v>7</v>
      </c>
      <c r="D8" s="11">
        <v>780</v>
      </c>
      <c r="E8" s="11">
        <v>1299</v>
      </c>
    </row>
    <row r="9" spans="1:5" x14ac:dyDescent="0.25">
      <c r="A9" s="7">
        <v>1008</v>
      </c>
      <c r="B9" s="8" t="s">
        <v>67</v>
      </c>
      <c r="C9" s="7">
        <v>8</v>
      </c>
      <c r="D9" s="11">
        <v>1450</v>
      </c>
      <c r="E9" s="11">
        <v>2399</v>
      </c>
    </row>
    <row r="10" spans="1:5" x14ac:dyDescent="0.25">
      <c r="A10" s="7">
        <v>1009</v>
      </c>
      <c r="B10" s="8" t="s">
        <v>68</v>
      </c>
      <c r="C10" s="7">
        <v>9</v>
      </c>
      <c r="D10" s="11">
        <v>85</v>
      </c>
      <c r="E10" s="11">
        <v>159.9</v>
      </c>
    </row>
    <row r="11" spans="1:5" x14ac:dyDescent="0.25">
      <c r="A11" s="7">
        <v>1010</v>
      </c>
      <c r="B11" s="8" t="s">
        <v>69</v>
      </c>
      <c r="C11" s="7">
        <v>10</v>
      </c>
      <c r="D11" s="11">
        <v>70</v>
      </c>
      <c r="E11" s="11">
        <v>129.9</v>
      </c>
    </row>
  </sheetData>
  <autoFilter ref="A1:E11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85546875" style="7" customWidth="1"/>
    <col min="2" max="2" width="23.42578125" style="7" customWidth="1"/>
    <col min="3" max="3" width="22" style="7" customWidth="1"/>
    <col min="4" max="4" width="13.85546875" style="7" customWidth="1"/>
    <col min="5" max="5" width="19.5703125" style="7" customWidth="1"/>
    <col min="6" max="6" width="16" style="7" customWidth="1"/>
    <col min="7" max="16384" width="9.140625" style="7"/>
  </cols>
  <sheetData>
    <row r="1" spans="1:6" x14ac:dyDescent="0.25">
      <c r="A1" s="4" t="s">
        <v>70</v>
      </c>
      <c r="B1" s="4" t="s">
        <v>200</v>
      </c>
      <c r="C1" s="4" t="s">
        <v>201</v>
      </c>
      <c r="D1" s="4" t="s">
        <v>71</v>
      </c>
      <c r="E1" s="4" t="s">
        <v>202</v>
      </c>
      <c r="F1" s="1" t="s">
        <v>204</v>
      </c>
    </row>
    <row r="2" spans="1:6" x14ac:dyDescent="0.25">
      <c r="A2" s="7">
        <v>2001</v>
      </c>
      <c r="B2" s="8" t="s">
        <v>72</v>
      </c>
      <c r="C2" s="8" t="s">
        <v>73</v>
      </c>
      <c r="D2" s="7" t="s">
        <v>74</v>
      </c>
      <c r="E2" s="7" t="s">
        <v>75</v>
      </c>
      <c r="F2" s="7">
        <v>2</v>
      </c>
    </row>
    <row r="3" spans="1:6" x14ac:dyDescent="0.25">
      <c r="A3" s="7">
        <v>2002</v>
      </c>
      <c r="B3" s="8" t="s">
        <v>76</v>
      </c>
      <c r="C3" s="8" t="s">
        <v>77</v>
      </c>
      <c r="D3" s="7" t="s">
        <v>74</v>
      </c>
      <c r="E3" s="7" t="s">
        <v>75</v>
      </c>
      <c r="F3" s="7">
        <v>2</v>
      </c>
    </row>
    <row r="4" spans="1:6" x14ac:dyDescent="0.25">
      <c r="A4" s="7">
        <v>2003</v>
      </c>
      <c r="B4" s="8" t="s">
        <v>78</v>
      </c>
      <c r="C4" s="8" t="s">
        <v>79</v>
      </c>
      <c r="D4" s="7" t="s">
        <v>74</v>
      </c>
      <c r="E4" s="7" t="s">
        <v>75</v>
      </c>
      <c r="F4" s="7">
        <v>2</v>
      </c>
    </row>
    <row r="5" spans="1:6" x14ac:dyDescent="0.25">
      <c r="A5" s="7">
        <v>2004</v>
      </c>
      <c r="B5" s="8" t="s">
        <v>80</v>
      </c>
      <c r="C5" s="8" t="s">
        <v>81</v>
      </c>
      <c r="D5" s="7" t="s">
        <v>74</v>
      </c>
      <c r="E5" s="7" t="s">
        <v>75</v>
      </c>
      <c r="F5" s="7">
        <v>2</v>
      </c>
    </row>
    <row r="6" spans="1:6" x14ac:dyDescent="0.25">
      <c r="A6" s="7">
        <v>2005</v>
      </c>
      <c r="B6" s="8" t="s">
        <v>82</v>
      </c>
      <c r="C6" s="8" t="s">
        <v>73</v>
      </c>
      <c r="D6" s="7" t="s">
        <v>74</v>
      </c>
      <c r="E6" s="7" t="s">
        <v>83</v>
      </c>
      <c r="F6" s="7">
        <v>2</v>
      </c>
    </row>
    <row r="7" spans="1:6" x14ac:dyDescent="0.25">
      <c r="A7" s="7">
        <v>2006</v>
      </c>
      <c r="B7" s="8" t="s">
        <v>84</v>
      </c>
      <c r="C7" s="8" t="s">
        <v>85</v>
      </c>
      <c r="D7" s="7" t="s">
        <v>74</v>
      </c>
      <c r="E7" s="7" t="s">
        <v>83</v>
      </c>
      <c r="F7" s="7">
        <v>2</v>
      </c>
    </row>
    <row r="8" spans="1:6" x14ac:dyDescent="0.25">
      <c r="A8" s="7">
        <v>2007</v>
      </c>
      <c r="B8" s="8" t="s">
        <v>86</v>
      </c>
      <c r="C8" s="8" t="s">
        <v>87</v>
      </c>
      <c r="D8" s="7" t="s">
        <v>74</v>
      </c>
      <c r="E8" s="7" t="s">
        <v>75</v>
      </c>
      <c r="F8" s="7">
        <v>2</v>
      </c>
    </row>
    <row r="9" spans="1:6" x14ac:dyDescent="0.25">
      <c r="A9" s="7">
        <v>2008</v>
      </c>
      <c r="B9" s="8" t="s">
        <v>88</v>
      </c>
      <c r="C9" s="8" t="s">
        <v>89</v>
      </c>
      <c r="D9" s="7" t="s">
        <v>74</v>
      </c>
      <c r="E9" s="7" t="s">
        <v>75</v>
      </c>
      <c r="F9" s="7">
        <v>2</v>
      </c>
    </row>
    <row r="10" spans="1:6" x14ac:dyDescent="0.25">
      <c r="A10" s="7">
        <v>2009</v>
      </c>
      <c r="B10" s="8" t="s">
        <v>90</v>
      </c>
      <c r="C10" s="8" t="s">
        <v>91</v>
      </c>
      <c r="D10" s="7" t="s">
        <v>74</v>
      </c>
      <c r="E10" s="7" t="s">
        <v>83</v>
      </c>
      <c r="F10" s="7">
        <v>2</v>
      </c>
    </row>
    <row r="11" spans="1:6" x14ac:dyDescent="0.25">
      <c r="A11" s="7">
        <v>2010</v>
      </c>
      <c r="B11" s="8" t="s">
        <v>92</v>
      </c>
      <c r="C11" s="8" t="s">
        <v>93</v>
      </c>
      <c r="D11" s="7" t="s">
        <v>74</v>
      </c>
      <c r="E11" s="7" t="s">
        <v>75</v>
      </c>
      <c r="F11" s="7">
        <v>2</v>
      </c>
    </row>
  </sheetData>
  <autoFilter ref="A1:E1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21.140625" style="7" customWidth="1"/>
    <col min="2" max="2" width="19.5703125" style="7" customWidth="1"/>
    <col min="3" max="3" width="18.85546875" style="7" customWidth="1"/>
    <col min="4" max="4" width="20.42578125" style="7" customWidth="1"/>
    <col min="5" max="5" width="21.140625" style="7" customWidth="1"/>
    <col min="6" max="6" width="14.5703125" style="7" customWidth="1"/>
    <col min="7" max="16384" width="9.140625" style="7"/>
  </cols>
  <sheetData>
    <row r="1" spans="1:6" x14ac:dyDescent="0.25">
      <c r="A1" s="4" t="s">
        <v>94</v>
      </c>
      <c r="B1" s="4" t="s">
        <v>205</v>
      </c>
      <c r="C1" s="4" t="s">
        <v>70</v>
      </c>
      <c r="D1" s="4" t="s">
        <v>203</v>
      </c>
      <c r="E1" s="4" t="s">
        <v>206</v>
      </c>
      <c r="F1" s="1"/>
    </row>
    <row r="2" spans="1:6" x14ac:dyDescent="0.25">
      <c r="A2" s="7">
        <v>5001</v>
      </c>
      <c r="B2" s="7" t="s">
        <v>95</v>
      </c>
      <c r="C2" s="7">
        <v>2001</v>
      </c>
      <c r="D2" s="7">
        <v>13</v>
      </c>
      <c r="E2" s="7" t="s">
        <v>96</v>
      </c>
    </row>
    <row r="3" spans="1:6" x14ac:dyDescent="0.25">
      <c r="A3" s="7">
        <v>5002</v>
      </c>
      <c r="B3" s="7" t="s">
        <v>97</v>
      </c>
      <c r="C3" s="7">
        <v>2002</v>
      </c>
      <c r="D3" s="7">
        <v>13</v>
      </c>
      <c r="E3" s="7" t="s">
        <v>98</v>
      </c>
    </row>
    <row r="4" spans="1:6" x14ac:dyDescent="0.25">
      <c r="A4" s="7">
        <v>5003</v>
      </c>
      <c r="B4" s="7" t="s">
        <v>99</v>
      </c>
      <c r="C4" s="7">
        <v>2003</v>
      </c>
      <c r="D4" s="7">
        <v>13</v>
      </c>
      <c r="E4" s="7" t="s">
        <v>100</v>
      </c>
    </row>
    <row r="5" spans="1:6" x14ac:dyDescent="0.25">
      <c r="A5" s="7">
        <v>5004</v>
      </c>
      <c r="B5" s="7" t="s">
        <v>101</v>
      </c>
      <c r="C5" s="7">
        <v>2004</v>
      </c>
      <c r="D5" s="7">
        <v>13</v>
      </c>
      <c r="E5" s="7" t="s">
        <v>100</v>
      </c>
    </row>
    <row r="6" spans="1:6" x14ac:dyDescent="0.25">
      <c r="A6" s="7">
        <v>5005</v>
      </c>
      <c r="B6" s="7" t="s">
        <v>102</v>
      </c>
      <c r="C6" s="7">
        <v>2005</v>
      </c>
      <c r="D6" s="7">
        <v>13</v>
      </c>
      <c r="E6" s="7" t="s">
        <v>98</v>
      </c>
    </row>
    <row r="7" spans="1:6" x14ac:dyDescent="0.25">
      <c r="A7" s="7">
        <v>5006</v>
      </c>
      <c r="B7" s="7" t="s">
        <v>103</v>
      </c>
      <c r="C7" s="7">
        <v>2006</v>
      </c>
      <c r="D7" s="7">
        <v>13</v>
      </c>
      <c r="E7" s="7" t="s">
        <v>100</v>
      </c>
    </row>
    <row r="8" spans="1:6" x14ac:dyDescent="0.25">
      <c r="A8" s="7">
        <v>5007</v>
      </c>
      <c r="B8" s="7" t="s">
        <v>104</v>
      </c>
      <c r="C8" s="7">
        <v>2007</v>
      </c>
      <c r="D8" s="7">
        <v>4</v>
      </c>
      <c r="E8" s="7" t="s">
        <v>96</v>
      </c>
    </row>
    <row r="9" spans="1:6" x14ac:dyDescent="0.25">
      <c r="A9" s="7">
        <v>5008</v>
      </c>
      <c r="B9" s="7" t="s">
        <v>105</v>
      </c>
      <c r="C9" s="7">
        <v>2008</v>
      </c>
      <c r="D9" s="7">
        <v>4</v>
      </c>
      <c r="E9" s="7" t="s">
        <v>100</v>
      </c>
    </row>
    <row r="10" spans="1:6" x14ac:dyDescent="0.25">
      <c r="A10" s="7">
        <v>5009</v>
      </c>
      <c r="B10" s="7" t="s">
        <v>106</v>
      </c>
      <c r="C10" s="7">
        <v>2009</v>
      </c>
      <c r="D10" s="7">
        <v>4</v>
      </c>
      <c r="E10" s="7" t="s">
        <v>98</v>
      </c>
    </row>
    <row r="11" spans="1:6" x14ac:dyDescent="0.25">
      <c r="A11" s="7">
        <v>5010</v>
      </c>
      <c r="B11" s="7" t="s">
        <v>107</v>
      </c>
      <c r="C11" s="7">
        <v>2010</v>
      </c>
      <c r="D11" s="7">
        <v>4</v>
      </c>
      <c r="E11" s="7" t="s">
        <v>96</v>
      </c>
    </row>
  </sheetData>
  <autoFilter ref="A1:E11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2" width="18.28515625" style="7" customWidth="1"/>
    <col min="3" max="3" width="21.5703125" style="7" customWidth="1"/>
    <col min="4" max="4" width="19.42578125" style="7" customWidth="1"/>
    <col min="5" max="5" width="19.5703125" style="7" customWidth="1"/>
    <col min="6" max="6" width="21.5703125" style="7" bestFit="1" customWidth="1"/>
    <col min="7" max="7" width="18.28515625" style="7" customWidth="1"/>
    <col min="8" max="8" width="15.5703125" style="7" customWidth="1"/>
    <col min="9" max="9" width="13.85546875" style="7" customWidth="1"/>
    <col min="10" max="10" width="12.140625" style="7" bestFit="1" customWidth="1"/>
    <col min="11" max="11" width="10.5703125" style="7" bestFit="1" customWidth="1"/>
    <col min="12" max="16384" width="9.140625" style="7"/>
  </cols>
  <sheetData>
    <row r="1" spans="1:11" x14ac:dyDescent="0.25">
      <c r="A1" s="4" t="s">
        <v>108</v>
      </c>
      <c r="B1" s="4" t="s">
        <v>94</v>
      </c>
      <c r="C1" s="4" t="s">
        <v>59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  <c r="J1" s="4" t="s">
        <v>203</v>
      </c>
    </row>
    <row r="2" spans="1:11" x14ac:dyDescent="0.25">
      <c r="A2" s="7">
        <v>9001</v>
      </c>
      <c r="B2" s="7">
        <v>5001</v>
      </c>
      <c r="C2" s="7">
        <v>1001</v>
      </c>
      <c r="D2" s="7" t="s">
        <v>95</v>
      </c>
      <c r="E2" s="7">
        <v>2</v>
      </c>
      <c r="F2" s="11">
        <v>6200</v>
      </c>
      <c r="G2" s="11">
        <f>F2*E2</f>
        <v>12400</v>
      </c>
      <c r="H2" s="7" t="s">
        <v>109</v>
      </c>
      <c r="I2" s="7">
        <v>2025</v>
      </c>
      <c r="J2" s="7">
        <v>4</v>
      </c>
      <c r="K2" s="12"/>
    </row>
    <row r="3" spans="1:11" x14ac:dyDescent="0.25">
      <c r="A3" s="7">
        <v>9002</v>
      </c>
      <c r="B3" s="7">
        <v>5002</v>
      </c>
      <c r="C3" s="7">
        <v>1002</v>
      </c>
      <c r="D3" s="7" t="s">
        <v>97</v>
      </c>
      <c r="E3" s="7">
        <v>3</v>
      </c>
      <c r="F3" s="11">
        <v>3499</v>
      </c>
      <c r="G3" s="11">
        <f t="shared" ref="G3:G11" si="0">F3*E3</f>
        <v>10497</v>
      </c>
      <c r="H3" s="7" t="s">
        <v>110</v>
      </c>
      <c r="I3" s="7">
        <v>2025</v>
      </c>
      <c r="J3" s="7">
        <v>4</v>
      </c>
      <c r="K3" s="12"/>
    </row>
    <row r="4" spans="1:11" x14ac:dyDescent="0.25">
      <c r="A4" s="7">
        <v>9003</v>
      </c>
      <c r="B4" s="7">
        <v>5003</v>
      </c>
      <c r="C4" s="7">
        <v>1003</v>
      </c>
      <c r="D4" s="7" t="s">
        <v>99</v>
      </c>
      <c r="E4" s="7">
        <v>5</v>
      </c>
      <c r="F4" s="11">
        <v>1190</v>
      </c>
      <c r="G4" s="11">
        <f t="shared" si="0"/>
        <v>5950</v>
      </c>
      <c r="H4" s="7" t="s">
        <v>111</v>
      </c>
      <c r="I4" s="7">
        <v>2025</v>
      </c>
      <c r="J4" s="7">
        <v>4</v>
      </c>
      <c r="K4" s="12"/>
    </row>
    <row r="5" spans="1:11" x14ac:dyDescent="0.25">
      <c r="A5" s="7">
        <v>9004</v>
      </c>
      <c r="B5" s="7">
        <v>5004</v>
      </c>
      <c r="C5" s="7">
        <v>1004</v>
      </c>
      <c r="D5" s="7" t="s">
        <v>101</v>
      </c>
      <c r="E5" s="7">
        <v>10</v>
      </c>
      <c r="F5" s="11">
        <v>329</v>
      </c>
      <c r="G5" s="11">
        <f t="shared" si="0"/>
        <v>3290</v>
      </c>
      <c r="H5" s="7" t="s">
        <v>112</v>
      </c>
      <c r="I5" s="7">
        <v>2025</v>
      </c>
      <c r="J5" s="7">
        <v>4</v>
      </c>
      <c r="K5" s="12"/>
    </row>
    <row r="6" spans="1:11" x14ac:dyDescent="0.25">
      <c r="A6" s="7">
        <v>9005</v>
      </c>
      <c r="B6" s="7">
        <v>5005</v>
      </c>
      <c r="C6" s="7">
        <v>1005</v>
      </c>
      <c r="D6" s="7" t="s">
        <v>102</v>
      </c>
      <c r="E6" s="7">
        <v>20</v>
      </c>
      <c r="F6" s="11">
        <v>99.9</v>
      </c>
      <c r="G6" s="11">
        <f t="shared" si="0"/>
        <v>1998</v>
      </c>
      <c r="H6" s="7" t="s">
        <v>113</v>
      </c>
      <c r="I6" s="7">
        <v>2025</v>
      </c>
      <c r="J6" s="7">
        <v>4</v>
      </c>
      <c r="K6" s="12"/>
    </row>
    <row r="7" spans="1:11" x14ac:dyDescent="0.25">
      <c r="A7" s="7">
        <v>9006</v>
      </c>
      <c r="B7" s="7">
        <v>5006</v>
      </c>
      <c r="C7" s="7">
        <v>1006</v>
      </c>
      <c r="D7" s="7" t="s">
        <v>103</v>
      </c>
      <c r="E7" s="7">
        <v>8</v>
      </c>
      <c r="F7" s="11">
        <v>219.9</v>
      </c>
      <c r="G7" s="11">
        <f t="shared" si="0"/>
        <v>1759.2</v>
      </c>
      <c r="H7" s="7" t="s">
        <v>114</v>
      </c>
      <c r="I7" s="7">
        <v>2026</v>
      </c>
      <c r="J7" s="7">
        <v>4</v>
      </c>
      <c r="K7" s="12"/>
    </row>
    <row r="8" spans="1:11" x14ac:dyDescent="0.25">
      <c r="A8" s="7">
        <v>9007</v>
      </c>
      <c r="B8" s="7">
        <v>5007</v>
      </c>
      <c r="C8" s="7">
        <v>1007</v>
      </c>
      <c r="D8" s="7" t="s">
        <v>104</v>
      </c>
      <c r="E8" s="7">
        <v>4</v>
      </c>
      <c r="F8" s="11">
        <v>1299</v>
      </c>
      <c r="G8" s="11">
        <f t="shared" si="0"/>
        <v>5196</v>
      </c>
      <c r="H8" s="7" t="s">
        <v>115</v>
      </c>
      <c r="I8" s="7">
        <v>2026</v>
      </c>
      <c r="J8" s="7">
        <v>4</v>
      </c>
      <c r="K8" s="12"/>
    </row>
    <row r="9" spans="1:11" x14ac:dyDescent="0.25">
      <c r="A9" s="7">
        <v>9008</v>
      </c>
      <c r="B9" s="7">
        <v>5008</v>
      </c>
      <c r="C9" s="7">
        <v>1008</v>
      </c>
      <c r="D9" s="7" t="s">
        <v>105</v>
      </c>
      <c r="E9" s="7">
        <v>2</v>
      </c>
      <c r="F9" s="11">
        <v>2399</v>
      </c>
      <c r="G9" s="11">
        <f t="shared" si="0"/>
        <v>4798</v>
      </c>
      <c r="H9" s="7" t="s">
        <v>111</v>
      </c>
      <c r="I9" s="7">
        <v>2026</v>
      </c>
      <c r="J9" s="7">
        <v>4</v>
      </c>
      <c r="K9" s="12"/>
    </row>
    <row r="10" spans="1:11" x14ac:dyDescent="0.25">
      <c r="A10" s="7">
        <v>9009</v>
      </c>
      <c r="B10" s="7">
        <v>5009</v>
      </c>
      <c r="C10" s="7">
        <v>1009</v>
      </c>
      <c r="D10" s="7" t="s">
        <v>106</v>
      </c>
      <c r="E10" s="7">
        <v>12</v>
      </c>
      <c r="F10" s="11">
        <v>159.9</v>
      </c>
      <c r="G10" s="11">
        <f t="shared" si="0"/>
        <v>1918.8000000000002</v>
      </c>
      <c r="H10" s="7" t="s">
        <v>116</v>
      </c>
      <c r="I10" s="7">
        <v>2026</v>
      </c>
      <c r="J10" s="7">
        <v>4</v>
      </c>
      <c r="K10" s="12"/>
    </row>
    <row r="11" spans="1:11" x14ac:dyDescent="0.25">
      <c r="A11" s="7">
        <v>9010</v>
      </c>
      <c r="B11" s="7">
        <v>5010</v>
      </c>
      <c r="C11" s="7">
        <v>1010</v>
      </c>
      <c r="D11" s="7" t="s">
        <v>107</v>
      </c>
      <c r="E11" s="7">
        <v>15</v>
      </c>
      <c r="F11" s="11">
        <v>129.9</v>
      </c>
      <c r="G11" s="11">
        <f t="shared" si="0"/>
        <v>1948.5</v>
      </c>
      <c r="H11" s="7" t="s">
        <v>117</v>
      </c>
      <c r="I11" s="7">
        <v>2026</v>
      </c>
      <c r="J11" s="7">
        <v>4</v>
      </c>
      <c r="K11" s="12"/>
    </row>
  </sheetData>
  <autoFilter ref="A1:I11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pane ySplit="1" topLeftCell="A2" activePane="bottomLeft" state="frozen"/>
      <selection pane="bottomLeft" activeCell="I18" sqref="I18"/>
    </sheetView>
  </sheetViews>
  <sheetFormatPr defaultRowHeight="15" x14ac:dyDescent="0.25"/>
  <cols>
    <col min="1" max="1" width="19.42578125" style="3" customWidth="1"/>
    <col min="2" max="2" width="15.140625" style="3" bestFit="1" customWidth="1"/>
    <col min="3" max="3" width="17.140625" style="3" bestFit="1" customWidth="1"/>
    <col min="4" max="4" width="19.85546875" style="3" bestFit="1" customWidth="1"/>
    <col min="5" max="5" width="24.28515625" style="3" customWidth="1"/>
    <col min="6" max="6" width="30.5703125" style="3" customWidth="1"/>
  </cols>
  <sheetData>
    <row r="1" spans="1:6" x14ac:dyDescent="0.25">
      <c r="A1" s="1" t="s">
        <v>118</v>
      </c>
      <c r="B1" s="1" t="s">
        <v>94</v>
      </c>
      <c r="C1" s="1" t="s">
        <v>213</v>
      </c>
      <c r="D1" s="1" t="s">
        <v>214</v>
      </c>
      <c r="E1" s="1" t="s">
        <v>215</v>
      </c>
      <c r="F1" s="1" t="s">
        <v>216</v>
      </c>
    </row>
    <row r="2" spans="1:6" x14ac:dyDescent="0.25">
      <c r="A2" s="3">
        <v>7001</v>
      </c>
      <c r="B2" s="3">
        <v>5001</v>
      </c>
      <c r="C2" s="3" t="s">
        <v>119</v>
      </c>
      <c r="D2" s="3" t="s">
        <v>120</v>
      </c>
      <c r="E2" s="3" t="s">
        <v>100</v>
      </c>
      <c r="F2" s="2" t="s">
        <v>160</v>
      </c>
    </row>
    <row r="3" spans="1:6" x14ac:dyDescent="0.25">
      <c r="A3" s="3">
        <v>7002</v>
      </c>
      <c r="B3" s="3">
        <v>5002</v>
      </c>
      <c r="C3" s="3" t="s">
        <v>121</v>
      </c>
      <c r="D3" s="3" t="s">
        <v>122</v>
      </c>
      <c r="E3" s="3" t="s">
        <v>100</v>
      </c>
      <c r="F3" s="2" t="s">
        <v>161</v>
      </c>
    </row>
    <row r="4" spans="1:6" x14ac:dyDescent="0.25">
      <c r="A4" s="3">
        <v>7003</v>
      </c>
      <c r="B4" s="3">
        <v>5003</v>
      </c>
      <c r="C4" s="3" t="s">
        <v>123</v>
      </c>
      <c r="D4" s="3" t="s">
        <v>124</v>
      </c>
      <c r="E4" s="3" t="s">
        <v>100</v>
      </c>
      <c r="F4" s="2" t="s">
        <v>162</v>
      </c>
    </row>
    <row r="5" spans="1:6" x14ac:dyDescent="0.25">
      <c r="A5" s="3">
        <v>7004</v>
      </c>
      <c r="B5" s="3">
        <v>5004</v>
      </c>
      <c r="C5" s="3" t="s">
        <v>125</v>
      </c>
      <c r="D5" s="3" t="s">
        <v>126</v>
      </c>
      <c r="E5" s="3" t="s">
        <v>100</v>
      </c>
      <c r="F5" s="2" t="s">
        <v>160</v>
      </c>
    </row>
    <row r="6" spans="1:6" x14ac:dyDescent="0.25">
      <c r="A6" s="3">
        <v>7005</v>
      </c>
      <c r="B6" s="3">
        <v>5005</v>
      </c>
      <c r="C6" s="3" t="s">
        <v>127</v>
      </c>
      <c r="D6" s="3" t="s">
        <v>128</v>
      </c>
      <c r="E6" s="3" t="s">
        <v>100</v>
      </c>
      <c r="F6" s="2" t="s">
        <v>161</v>
      </c>
    </row>
    <row r="7" spans="1:6" x14ac:dyDescent="0.25">
      <c r="A7" s="3">
        <v>7006</v>
      </c>
      <c r="B7" s="3">
        <v>5006</v>
      </c>
      <c r="C7" s="3" t="s">
        <v>129</v>
      </c>
      <c r="D7" s="3" t="s">
        <v>130</v>
      </c>
      <c r="E7" s="3" t="s">
        <v>100</v>
      </c>
      <c r="F7" s="2" t="s">
        <v>162</v>
      </c>
    </row>
    <row r="8" spans="1:6" x14ac:dyDescent="0.25">
      <c r="A8" s="3">
        <v>7007</v>
      </c>
      <c r="B8" s="3">
        <v>5007</v>
      </c>
      <c r="C8" s="3" t="s">
        <v>131</v>
      </c>
      <c r="D8" s="3">
        <f>0</f>
        <v>0</v>
      </c>
      <c r="E8" s="3" t="s">
        <v>132</v>
      </c>
      <c r="F8" s="2" t="s">
        <v>160</v>
      </c>
    </row>
    <row r="9" spans="1:6" x14ac:dyDescent="0.25">
      <c r="A9" s="3">
        <v>7008</v>
      </c>
      <c r="B9" s="3">
        <v>5008</v>
      </c>
      <c r="C9" s="3" t="s">
        <v>133</v>
      </c>
      <c r="D9" s="3" t="s">
        <v>134</v>
      </c>
      <c r="E9" s="3" t="s">
        <v>100</v>
      </c>
      <c r="F9" s="2" t="s">
        <v>161</v>
      </c>
    </row>
    <row r="10" spans="1:6" x14ac:dyDescent="0.25">
      <c r="A10" s="3">
        <v>7009</v>
      </c>
      <c r="B10" s="3">
        <v>5009</v>
      </c>
      <c r="C10" s="3" t="s">
        <v>135</v>
      </c>
      <c r="D10" s="3" t="s">
        <v>136</v>
      </c>
      <c r="E10" s="3" t="s">
        <v>100</v>
      </c>
      <c r="F10" s="2" t="s">
        <v>162</v>
      </c>
    </row>
    <row r="11" spans="1:6" x14ac:dyDescent="0.25">
      <c r="A11" s="3">
        <v>7010</v>
      </c>
      <c r="B11" s="3">
        <v>5010</v>
      </c>
      <c r="C11" s="3" t="s">
        <v>137</v>
      </c>
      <c r="D11" s="3">
        <f>0</f>
        <v>0</v>
      </c>
      <c r="E11" s="3" t="s">
        <v>138</v>
      </c>
      <c r="F11" s="2" t="s">
        <v>160</v>
      </c>
    </row>
  </sheetData>
  <autoFilter ref="A1:F1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dim_usuario</vt:lpstr>
      <vt:lpstr>dim_setor</vt:lpstr>
      <vt:lpstr>dim_categorias</vt:lpstr>
      <vt:lpstr>dim_produto</vt:lpstr>
      <vt:lpstr>dim_cliente</vt:lpstr>
      <vt:lpstr>dim_pedidos</vt:lpstr>
      <vt:lpstr>fato_vendas</vt:lpstr>
      <vt:lpstr>fato_entrega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THIAGO TEIXEIRA</cp:lastModifiedBy>
  <dcterms:created xsi:type="dcterms:W3CDTF">2026-08-15T01:56:11Z</dcterms:created>
  <dcterms:modified xsi:type="dcterms:W3CDTF">2026-08-28T21:40:08Z</dcterms:modified>
</cp:coreProperties>
</file>